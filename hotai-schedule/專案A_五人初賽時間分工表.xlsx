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user01/Desktop/"/>
    </mc:Choice>
  </mc:AlternateContent>
  <xr:revisionPtr revIDLastSave="0" documentId="8_{65983198-BEFB-C14B-B5DB-2B802A295126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負載分配" sheetId="1" r:id="rId1"/>
    <sheet name="每週分工" sheetId="2" r:id="rId2"/>
    <sheet name="任務與測試" sheetId="3" r:id="rId3"/>
    <sheet name="初審驗收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H22" i="1"/>
  <c r="G22" i="1"/>
  <c r="F22" i="1"/>
  <c r="E22" i="1"/>
  <c r="D22" i="1"/>
  <c r="C11" i="1"/>
  <c r="C10" i="1"/>
  <c r="C9" i="1"/>
  <c r="F8" i="1"/>
  <c r="C8" i="1"/>
  <c r="C7" i="1"/>
</calcChain>
</file>

<file path=xl/sharedStrings.xml><?xml version="1.0" encoding="utf-8"?>
<sst xmlns="http://schemas.openxmlformats.org/spreadsheetml/2006/main" count="537" uniqueCount="346">
  <si>
    <t>專案 A｜六項功能的五人負載分配</t>
  </si>
  <si>
    <t>初審先證明必要閉環 ①拍攝教練 → ③影像比對 → ⑤人工覆核 → ⑥派工後台；②④為加分功能</t>
  </si>
  <si>
    <t>人員</t>
  </si>
  <si>
    <t>主責定位</t>
  </si>
  <si>
    <t>負載點數</t>
  </si>
  <si>
    <t>主要功能</t>
  </si>
  <si>
    <t>負載平衡</t>
  </si>
  <si>
    <t>A</t>
  </si>
  <si>
    <t>電腦視覺</t>
  </si>
  <si>
    <t>①拍攝教練演算法、③影像對位／差異熱區</t>
  </si>
  <si>
    <t>最大差距（點）</t>
  </si>
  <si>
    <t>B</t>
  </si>
  <si>
    <t>多模態 AI</t>
  </si>
  <si>
    <t>②車損語意、④車內整潔分類</t>
  </si>
  <si>
    <t>C</t>
  </si>
  <si>
    <t>前端／體驗工程</t>
  </si>
  <si>
    <t>①拍照介面、⑤覆核介面、⑥前台串接</t>
  </si>
  <si>
    <t>A–D 各 9 點；E 為 8 點，但第 4–5 週另主責全案回歸與整合控管。影像比對最重，拆給 A＋E；拍攝教練拆成演算法與介面給 A＋C。</t>
  </si>
  <si>
    <t>D</t>
  </si>
  <si>
    <t>後端／工作流</t>
  </si>
  <si>
    <t>⑤風險分流、⑥案件與派工後台</t>
  </si>
  <si>
    <t>E</t>
  </si>
  <si>
    <t>資料／QA／PM</t>
  </si>
  <si>
    <t>③配對資料、②④評估、跨功能測試與整合控管</t>
  </si>
  <si>
    <t>編號</t>
  </si>
  <si>
    <t>功能</t>
  </si>
  <si>
    <t>初審定位</t>
  </si>
  <si>
    <t>總負載</t>
  </si>
  <si>
    <t>分配</t>
  </si>
  <si>
    <t>拆分理由</t>
  </si>
  <si>
    <t>降階規則</t>
  </si>
  <si>
    <t>AI 拍攝教練</t>
  </si>
  <si>
    <t>必做</t>
  </si>
  <si>
    <t>A＋C</t>
  </si>
  <si>
    <t>演算法與即時互動可平行</t>
  </si>
  <si>
    <t>只做模糊／曝光／角度／完整度</t>
  </si>
  <si>
    <t>車況 AI 辨識</t>
  </si>
  <si>
    <t>加分</t>
  </si>
  <si>
    <t>B＋E</t>
  </si>
  <si>
    <t>類別、提示與測試資料都要投入</t>
  </si>
  <si>
    <t>只做刮傷／凹痕／髒污粗分類</t>
  </si>
  <si>
    <t>借還車影像比對</t>
  </si>
  <si>
    <t>必做／最重</t>
  </si>
  <si>
    <t>A＋E</t>
  </si>
  <si>
    <t>配對、對位、熱區與正負案例皆費工</t>
  </si>
  <si>
    <t>保留熱區證據，語意可交人工</t>
  </si>
  <si>
    <t>車內整潔判斷</t>
  </si>
  <si>
    <t>可少樣本展示，但先確保標註一致</t>
  </si>
  <si>
    <t>不穩時降為乾淨／需清潔二分</t>
  </si>
  <si>
    <t>AI × 人工覆核</t>
  </si>
  <si>
    <t>C＋D</t>
  </si>
  <si>
    <t>重點是信心分數、規則與操作</t>
  </si>
  <si>
    <t>只留通過／覆核／高風險三路由</t>
  </si>
  <si>
    <t>智慧派工與後台</t>
  </si>
  <si>
    <t>D＋C</t>
  </si>
  <si>
    <t>案件、任務、例外與前台需閉環</t>
  </si>
  <si>
    <t>只做規則派工，不做最佳化排程</t>
  </si>
  <si>
    <t>人員負載合計</t>
  </si>
  <si>
    <t>平衡標準：最大差距 ≤ 1 點</t>
  </si>
  <si>
    <t>五人每週分工｜初審版</t>
  </si>
  <si>
    <t>第 1–4 週完成功能與測試；第 5 週只做 Merge＋簡報／影片；10/12–10/14 只做投稿檢查</t>
  </si>
  <si>
    <t>時間</t>
  </si>
  <si>
    <t>A｜CV</t>
  </si>
  <si>
    <t>B｜多模態 AI</t>
  </si>
  <si>
    <t>C｜前端／UX 工程</t>
  </si>
  <si>
    <t>D｜後端／工作流</t>
  </si>
  <si>
    <t>E｜資料／QA／PM</t>
  </si>
  <si>
    <t>全隊里程碑</t>
  </si>
  <si>
    <t>第 1 週
9/7–9/13</t>
  </si>
  <si>
    <t>①模糊、曝光、角度、完整度 baseline；每完成一項即測</t>
  </si>
  <si>
    <t>定義②車損與④整潔類別、JSON；各做少樣本 baseline</t>
  </si>
  <si>
    <t>完成①拍照頁、即時提示與補拍狀態；測 5 種失敗</t>
  </si>
  <si>
    <t>定義⑤⑥案件 schema、狀態機、API mock；跑契約測試</t>
  </si>
  <si>
    <t>建立匿名配對集與標註規則；測配對、洩漏、標註一致</t>
  </si>
  <si>
    <t>介面凍結；①可獨立展示</t>
  </si>
  <si>
    <t>第 2 週
9/14–9/20</t>
  </si>
  <si>
    <t>與 E 完成③對位、差異熱區；測 5 異常＋5 正常</t>
  </si>
  <si>
    <t>與 E 完成②粗分類；測 schema 與混淆案例</t>
  </si>
  <si>
    <t>串接①與 UI；測通過、補拍、API 失敗</t>
  </si>
  <si>
    <t>案件寫入、證據保存、風險 mock；跑 API 測試</t>
  </si>
  <si>
    <t>主責③配對與②測試表；記錄召回、誤報、錯例</t>
  </si>
  <si>
    <t>③有熱區證據；①→③可串</t>
  </si>
  <si>
    <t>第 3 週
9/21–9/27</t>
  </si>
  <si>
    <t>強化③遮罩與錯誤旗標；回歸 W2 全案例</t>
  </si>
  <si>
    <t>與 E 完成④整潔三級；測標註一致與輸出</t>
  </si>
  <si>
    <t>與 D 完成⑤覆核介面、⑥狀態；測三種風險</t>
  </si>
  <si>
    <t>完成⑤分流、⑥清潔／維修派工；測 5 種任務</t>
  </si>
  <si>
    <t>完成④測試、協助⑤⑥驗收；維護缺陷清單</t>
  </si>
  <si>
    <t>必要流程 ①→③→⑤→⑥ 可走</t>
  </si>
  <si>
    <t>第 4 週
9/28–10/4</t>
  </si>
  <si>
    <t>凍結①③；測夜間、模糊、錯角度、無法對位</t>
  </si>
  <si>
    <t>凍結②④；驗證 schema、低信心與限制</t>
  </si>
  <si>
    <t>完成前端整合；測 loading、retry、fallback</t>
  </si>
  <si>
    <t>完成後端整合；測狀態轉換、重送不重複派工</t>
  </si>
  <si>
    <t>六情境 E2E、數據彙整、隱私掃描、證據包</t>
  </si>
  <si>
    <t>10/4 功能凍結；必要 4/4、整體 ≥5/6</t>
  </si>
  <si>
    <t>第 5 週
10/5–10/11</t>
  </si>
  <si>
    <t>Merge 模型服務；重跑固定案例（不改模型）</t>
  </si>
  <si>
    <t>Merge 輸出；核對主張與限制（不加類別）</t>
  </si>
  <si>
    <t>Merge 前端、錄 Demo；只修阻斷 bug</t>
  </si>
  <si>
    <t>Merge 後端、整理 log／備援；只修阻斷 bug</t>
  </si>
  <si>
    <t>控管合併、完成 15 頁簡報與 3 分鐘影片</t>
  </si>
  <si>
    <t>只做 Merge＋簡報／影片；禁止新增功能</t>
  </si>
  <si>
    <t>最終緩衝
10/12–10/14</t>
  </si>
  <si>
    <t>確認 AI 畫面與數字一致</t>
  </si>
  <si>
    <t>確認數據、限制與匿名化</t>
  </si>
  <si>
    <t>確認 Demo、PDF、影片可開</t>
  </si>
  <si>
    <t>確認後台與備援可開</t>
  </si>
  <si>
    <t>10/13 投稿；10/14 僅處理平台異常</t>
  </si>
  <si>
    <t>無開發；雙人交叉檢查</t>
  </si>
  <si>
    <t>任務與測試追蹤</t>
  </si>
  <si>
    <t>每列皆為可驗收的小步驟；門檻僅供初審 Prototype 驗收，不代表商用準確率</t>
  </si>
  <si>
    <t>任務 ID</t>
  </si>
  <si>
    <t>週別</t>
  </si>
  <si>
    <t>定位</t>
  </si>
  <si>
    <t>點數</t>
  </si>
  <si>
    <t>主責</t>
  </si>
  <si>
    <t>協作</t>
  </si>
  <si>
    <t>小步驟</t>
  </si>
  <si>
    <t>測試方法</t>
  </si>
  <si>
    <t>初審通過標準</t>
  </si>
  <si>
    <t>交付物</t>
  </si>
  <si>
    <t>狀態</t>
  </si>
  <si>
    <t>完成率</t>
  </si>
  <si>
    <t>阻塞／備註</t>
  </si>
  <si>
    <t>W1-01</t>
  </si>
  <si>
    <t>第 1 週</t>
  </si>
  <si>
    <t>① 拍攝教練</t>
  </si>
  <si>
    <t>模糊檢測 baseline</t>
  </si>
  <si>
    <t>20 張清晰／模糊人工標記逐張比對</t>
  </si>
  <si>
    <t>正確旗標 ≥16/20；錯例留存</t>
  </si>
  <si>
    <t>程式＋結果表</t>
  </si>
  <si>
    <t>未開始</t>
  </si>
  <si>
    <t>W1-02</t>
  </si>
  <si>
    <t>曝光檢測 baseline</t>
  </si>
  <si>
    <t>20 張過暗／正常／過曝人工核對</t>
  </si>
  <si>
    <t>正確旗標 ≥16/20</t>
  </si>
  <si>
    <t>W1-03</t>
  </si>
  <si>
    <t>角度與完整度規則</t>
  </si>
  <si>
    <t>刻意拍 5 張錯角度／車身不全</t>
  </si>
  <si>
    <t>至少攔下 4/5</t>
  </si>
  <si>
    <t>規則＋失敗案例</t>
  </si>
  <si>
    <t>W1-04</t>
  </si>
  <si>
    <t>拍照頁與補拍提示</t>
  </si>
  <si>
    <t>模糊、暗、曝、錯角度、缺車身 5 情境</t>
  </si>
  <si>
    <t>5/5 顯示對應提示且可補拍</t>
  </si>
  <si>
    <t>可操作拍照頁</t>
  </si>
  <si>
    <t>W1-05</t>
  </si>
  <si>
    <t>②④ 分類基礎</t>
  </si>
  <si>
    <t>類別與統一 JSON</t>
  </si>
  <si>
    <t>輸入 10 筆人工案例驗欄位／允許值</t>
  </si>
  <si>
    <t>10/10 可解析；缺欄位被攔</t>
  </si>
  <si>
    <t>類別表＋schema</t>
  </si>
  <si>
    <t>W1-06</t>
  </si>
  <si>
    <t>③ 影像比對</t>
  </si>
  <si>
    <t>匿名借還配對集</t>
  </si>
  <si>
    <t>抽查 ID、視角、借還標記與匿名化</t>
  </si>
  <si>
    <t>10 組 10/10 正確；零敏感資訊</t>
  </si>
  <si>
    <t>測試集＋字典</t>
  </si>
  <si>
    <t>W1-07</t>
  </si>
  <si>
    <t>⑤⑥ 工作流</t>
  </si>
  <si>
    <t>案件 schema、狀態機、API mock</t>
  </si>
  <si>
    <t>送正常、覆核、清潔、維修 4 payload</t>
  </si>
  <si>
    <t>4/4 合法；非法狀態被拒</t>
  </si>
  <si>
    <t>契約＋mock</t>
  </si>
  <si>
    <t>W2-01</t>
  </si>
  <si>
    <t>第 2 週</t>
  </si>
  <si>
    <t>同視角對位</t>
  </si>
  <si>
    <t>10 組產生疊圖後人工判讀</t>
  </si>
  <si>
    <t>≥8/10 可用；失敗自動旗標</t>
  </si>
  <si>
    <t>對位模組＋疊圖</t>
  </si>
  <si>
    <t>W2-02</t>
  </si>
  <si>
    <t>借還差異熱區</t>
  </si>
  <si>
    <t>5 異常＋5 正常盲測</t>
  </si>
  <si>
    <t>異常抓到 ≥4/5；正常誤報如實記錄</t>
  </si>
  <si>
    <t>遮罩＋測試表</t>
  </si>
  <si>
    <t>W2-03</t>
  </si>
  <si>
    <t>② 車況辨識</t>
  </si>
  <si>
    <t>車損粗分類</t>
  </si>
  <si>
    <t>小型人工覆核集逐筆對照</t>
  </si>
  <si>
    <t>輸出 10/10 合 schema；混淆留存</t>
  </si>
  <si>
    <t>baseline＋混淆表</t>
  </si>
  <si>
    <t>W2-04</t>
  </si>
  <si>
    <t>串接品質 API</t>
  </si>
  <si>
    <t>測通過、各補拍、timeout</t>
  </si>
  <si>
    <t>路由正確；timeout 可重試不崩</t>
  </si>
  <si>
    <t>前端串接版</t>
  </si>
  <si>
    <t>W2-05</t>
  </si>
  <si>
    <t>案件與證據寫入</t>
  </si>
  <si>
    <t>連建 5 案後讀回摘要、風險、狀態</t>
  </si>
  <si>
    <t>5/5 一致；缺值有錯誤訊息</t>
  </si>
  <si>
    <t>案件 API</t>
  </si>
  <si>
    <t>W2-06</t>
  </si>
  <si>
    <t>跨功能 QA</t>
  </si>
  <si>
    <t>A/B</t>
  </si>
  <si>
    <t>召回、誤報、延遲表</t>
  </si>
  <si>
    <t>固定案例重跑兩次並核對公式</t>
  </si>
  <si>
    <t>樣本、分母、版本、結果可追溯</t>
  </si>
  <si>
    <t>測試表 V1</t>
  </si>
  <si>
    <t>W3-01</t>
  </si>
  <si>
    <t>第 3 週</t>
  </si>
  <si>
    <t>④ 車內整潔</t>
  </si>
  <si>
    <t>整潔三級判斷</t>
  </si>
  <si>
    <t>兩人獨立標 10 張；另驗模型 schema</t>
  </si>
  <si>
    <t>標註一致 ≥80%；輸出 10/10 合法</t>
  </si>
  <si>
    <t>rubric＋baseline</t>
  </si>
  <si>
    <t>W3-02</t>
  </si>
  <si>
    <t>⑤ 人工覆核</t>
  </si>
  <si>
    <t>信心分流規則</t>
  </si>
  <si>
    <t>高信心正常、低信心、高風險各一</t>
  </si>
  <si>
    <t>3/3 進正確路由</t>
  </si>
  <si>
    <t>規則＋單元測試</t>
  </si>
  <si>
    <t>W3-03</t>
  </si>
  <si>
    <t>覆核佇列與證據畫面</t>
  </si>
  <si>
    <t>看熱區／前後照並送決策</t>
  </si>
  <si>
    <t>1 分鐘內完成；結果正確回寫</t>
  </si>
  <si>
    <t>覆核介面</t>
  </si>
  <si>
    <t>W3-04</t>
  </si>
  <si>
    <t>⑥ 智慧派工</t>
  </si>
  <si>
    <t>清潔／維修／確認任務</t>
  </si>
  <si>
    <t>輸入 5 種異常組合</t>
  </si>
  <si>
    <t>5/5 任務與狀態正確</t>
  </si>
  <si>
    <t>派工 API＋看板</t>
  </si>
  <si>
    <t>W3-05</t>
  </si>
  <si>
    <t>案件與派工進度</t>
  </si>
  <si>
    <t>模擬建立、處理中、完成、失敗</t>
  </si>
  <si>
    <t>4 狀態顯示正確；失敗可重試</t>
  </si>
  <si>
    <t>狀態元件</t>
  </si>
  <si>
    <t>W3-06</t>
  </si>
  <si>
    <t>無法對位／遮擋旗標</t>
  </si>
  <si>
    <t>5 組錯角度／遮擋照片</t>
  </si>
  <si>
    <t>≥4/5 不產生假熱區、轉人工</t>
  </si>
  <si>
    <t>錯誤處理</t>
  </si>
  <si>
    <t>W3-07</t>
  </si>
  <si>
    <t>必要閉環</t>
  </si>
  <si>
    <t>全隊</t>
  </si>
  <si>
    <t>驗收黃金路徑</t>
  </si>
  <si>
    <t>跑補拍、正常、車損、派工 4 案</t>
  </si>
  <si>
    <t>必要情境 4/4 完成且有證據</t>
  </si>
  <si>
    <t>錄影 V0</t>
  </si>
  <si>
    <t>W4-01</t>
  </si>
  <si>
    <t>第 4 週</t>
  </si>
  <si>
    <t>①③ AI 凍結</t>
  </si>
  <si>
    <t>凍結拍攝與比對</t>
  </si>
  <si>
    <t>夜間、模糊、曝、錯角度、無法對位</t>
  </si>
  <si>
    <t>皆有結果或人工 fallback</t>
  </si>
  <si>
    <t>AI RC</t>
  </si>
  <si>
    <t>W4-02</t>
  </si>
  <si>
    <t>②④ AI 凍結</t>
  </si>
  <si>
    <t>凍結提示與類別</t>
  </si>
  <si>
    <t>固定 10 筆重跑兩次</t>
  </si>
  <si>
    <t>格式 10/10；不穩定轉人工</t>
  </si>
  <si>
    <t>分類 RC</t>
  </si>
  <si>
    <t>W4-03</t>
  </si>
  <si>
    <t>前端整合</t>
  </si>
  <si>
    <t>A/D</t>
  </si>
  <si>
    <t>loading、retry、fallback</t>
  </si>
  <si>
    <t>斷網、timeout、空回傳、低信心</t>
  </si>
  <si>
    <t>不崩潰且有下一步</t>
  </si>
  <si>
    <t>前端 RC</t>
  </si>
  <si>
    <t>W4-04</t>
  </si>
  <si>
    <t>後端整合</t>
  </si>
  <si>
    <t>狀態與冪等</t>
  </si>
  <si>
    <t>同案件重送兩次並跨四狀態</t>
  </si>
  <si>
    <t>不重複派工；無非法跳轉</t>
  </si>
  <si>
    <t>後端 RC</t>
  </si>
  <si>
    <t>W4-05</t>
  </si>
  <si>
    <t>全案 E2E</t>
  </si>
  <si>
    <t>六情境回歸</t>
  </si>
  <si>
    <t>補拍、正常、車損、髒污、低信心、後端失敗</t>
  </si>
  <si>
    <t>必要 4/4；整體 ≥5/6</t>
  </si>
  <si>
    <t>報告＋證據包</t>
  </si>
  <si>
    <t>W4-06</t>
  </si>
  <si>
    <t>隱私／主張</t>
  </si>
  <si>
    <t>掃描素材與數字</t>
  </si>
  <si>
    <t>逐檔查車牌、網址、敏感欄位、數字來源</t>
  </si>
  <si>
    <t>零敏感資訊；數字有證據或標假設</t>
  </si>
  <si>
    <t>檢查表</t>
  </si>
  <si>
    <t>W5-01</t>
  </si>
  <si>
    <t>第 5 週</t>
  </si>
  <si>
    <t>Merge</t>
  </si>
  <si>
    <t>合併 AI 服務</t>
  </si>
  <si>
    <t>固定案例完整重跑</t>
  </si>
  <si>
    <t>結果與 W4 一致；不改模型</t>
  </si>
  <si>
    <t>AI merge</t>
  </si>
  <si>
    <t>W5-02</t>
  </si>
  <si>
    <t>C/D</t>
  </si>
  <si>
    <t>合併前後端與 Demo</t>
  </si>
  <si>
    <t>黃金路徑連跑 3 次；測預錄備援</t>
  </si>
  <si>
    <t>3/3 成功；30 秒內切備援</t>
  </si>
  <si>
    <t>Demo build</t>
  </si>
  <si>
    <t>W5-03</t>
  </si>
  <si>
    <t>簡報／影片</t>
  </si>
  <si>
    <t>完成 15 頁與 3 分鐘影片</t>
  </si>
  <si>
    <t>核對頁數、片長、四評分項、前 45 秒</t>
  </si>
  <si>
    <t>≤15 頁；2:45–2:55；證據齊</t>
  </si>
  <si>
    <t>PDF＋影片</t>
  </si>
  <si>
    <t>BUF-01</t>
  </si>
  <si>
    <t>最終緩衝</t>
  </si>
  <si>
    <t>投稿 QA</t>
  </si>
  <si>
    <t>連結、匿名化、投稿檢查</t>
  </si>
  <si>
    <t>兩人未登入開影片／PDF並核報名欄</t>
  </si>
  <si>
    <t>皆可開且正確；10/13 留成功畫面</t>
  </si>
  <si>
    <t>投稿紀錄</t>
  </si>
  <si>
    <t>初審完成定義</t>
  </si>
  <si>
    <t>證明方案、AI 整合、可行性與創意；不把 Prototype 包裝成商用成熟系統</t>
  </si>
  <si>
    <t>類別</t>
  </si>
  <si>
    <t>驗收項目</t>
  </si>
  <si>
    <t>負責</t>
  </si>
  <si>
    <t>期限</t>
  </si>
  <si>
    <t>結果</t>
  </si>
  <si>
    <t>證據／連結</t>
  </si>
  <si>
    <t>需修正事項</t>
  </si>
  <si>
    <t>必要流程</t>
  </si>
  <si>
    <t>①不合格照片會提示補拍</t>
  </si>
  <si>
    <t>A/C</t>
  </si>
  <si>
    <t>10/4</t>
  </si>
  <si>
    <t>待確認</t>
  </si>
  <si>
    <t>③可對位標差異，失敗轉人工</t>
  </si>
  <si>
    <t>A/E</t>
  </si>
  <si>
    <t>⑤低信心／高風險進覆核</t>
  </si>
  <si>
    <t>⑥覆核後建清潔／維修任務</t>
  </si>
  <si>
    <t>加分功能</t>
  </si>
  <si>
    <t>②粗分類可安全降階</t>
  </si>
  <si>
    <t>B/E</t>
  </si>
  <si>
    <t>④有 rubric、測試與人工 fallback</t>
  </si>
  <si>
    <t>測試證據</t>
  </si>
  <si>
    <t>每小步皆有方法、門檻、結果、錯例</t>
  </si>
  <si>
    <t>E／全隊</t>
  </si>
  <si>
    <t>誠實主張</t>
  </si>
  <si>
    <t>召回／誤報／樣本數並列；假設分開</t>
  </si>
  <si>
    <t>A/B/E</t>
  </si>
  <si>
    <t>10/11</t>
  </si>
  <si>
    <t>評分對應</t>
  </si>
  <si>
    <t>四項評分各有直接證據</t>
  </si>
  <si>
    <t>繳件</t>
  </si>
  <si>
    <t>PDF≤15 頁；影片 2:45–2:55</t>
  </si>
  <si>
    <t>隱私</t>
  </si>
  <si>
    <t>車牌、網址、敏感欄位去識別</t>
  </si>
  <si>
    <t>E＋覆核者</t>
  </si>
  <si>
    <t>10/13</t>
  </si>
  <si>
    <t>投稿</t>
  </si>
  <si>
    <t>YouTube 不公開且未登入可看；10/13 投稿</t>
  </si>
  <si>
    <t>使用原則</t>
  </si>
  <si>
    <t>第 4 週結束即功能凍結。第 5 週只允許合併、修復會阻斷展示的 bug、製作簡報與影片；不可新增功能。②④未達門檻就降階，優先保住 ①→③→⑤→⑥。所有門檻都是初審 Prototype 內部驗收標準，不是商用承諾。</t>
  </si>
  <si>
    <t>官方網站：https://ht-hackathon.tw/tw/　｜　投稿前再以官網最新公告覆核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</si>
</sst>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\ &quot;點&quot;"/>
  </numFmts>
  <fonts count="12">
    <font>
      <sz val="11"/>
      <name val="Carlito"/>
    </font>
    <font>
      <b/>
      <sz val="16"/>
      <color rgb="FF17324D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0"/>
      <color rgb="FF243447"/>
      <name val="Arial"/>
      <family val="2"/>
    </font>
    <font>
      <b/>
      <sz val="11"/>
      <color rgb="FF17324D"/>
      <name val="Arial"/>
      <family val="2"/>
    </font>
    <font>
      <b/>
      <sz val="16"/>
      <color rgb="FF246B3C"/>
      <name val="Arial"/>
      <family val="2"/>
    </font>
    <font>
      <sz val="10"/>
      <color rgb="FF374151"/>
      <name val="Arial"/>
      <family val="2"/>
    </font>
    <font>
      <b/>
      <sz val="10"/>
      <color rgb="FF17324D"/>
      <name val="Arial"/>
      <family val="2"/>
    </font>
    <font>
      <b/>
      <sz val="10"/>
      <color rgb="FF7A4E00"/>
      <name val="Arial"/>
      <family val="2"/>
    </font>
    <font>
      <sz val="11"/>
      <name val="Carlito"/>
    </font>
    <font>
      <sz val="9"/>
      <name val="Wawati TC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3F8"/>
      </patternFill>
    </fill>
    <fill>
      <patternFill patternType="solid">
        <fgColor rgb="FFD9EAD3"/>
      </patternFill>
    </fill>
    <fill>
      <patternFill patternType="solid">
        <fgColor rgb="FFF7F9FB"/>
      </patternFill>
    </fill>
    <fill>
      <patternFill patternType="solid">
        <fgColor rgb="FFE7F4F1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2F75B5"/>
      </bottom>
      <diagonal/>
    </border>
    <border>
      <left/>
      <right style="thin">
        <color rgb="FFFFFFFF"/>
      </right>
      <top/>
      <bottom style="thin">
        <color rgb="FF17324D"/>
      </bottom>
      <diagonal/>
    </border>
    <border>
      <left style="thin">
        <color rgb="FFFFFFFF"/>
      </left>
      <right style="thin">
        <color rgb="FFFFFFFF"/>
      </right>
      <top/>
      <bottom style="thin">
        <color rgb="FF17324D"/>
      </bottom>
      <diagonal/>
    </border>
    <border>
      <left style="thin">
        <color rgb="FFFFFFFF"/>
      </left>
      <right/>
      <top/>
      <bottom style="thin">
        <color rgb="FF17324D"/>
      </bottom>
      <diagonal/>
    </border>
    <border>
      <left/>
      <right/>
      <top/>
      <bottom style="thin">
        <color rgb="FFD9E2E8"/>
      </bottom>
      <diagonal/>
    </border>
    <border>
      <left/>
      <right/>
      <top style="double">
        <color rgb="FF17324D"/>
      </top>
      <bottom/>
      <diagonal/>
    </border>
  </borders>
  <cellStyleXfs count="2">
    <xf numFmtId="0" fontId="0" fillId="0" borderId="0"/>
    <xf numFmtId="0" fontId="10" fillId="0" borderId="0"/>
  </cellStyleXfs>
  <cellXfs count="31">
    <xf numFmtId="0" fontId="0" fillId="0" borderId="0" xfId="0"/>
    <xf numFmtId="0" fontId="0" fillId="0" borderId="1" xfId="1" applyFont="1" applyBorder="1"/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4" fillId="0" borderId="5" xfId="1" applyFont="1" applyBorder="1" applyAlignment="1">
      <alignment vertical="top" wrapText="1"/>
    </xf>
    <xf numFmtId="176" fontId="4" fillId="0" borderId="0" xfId="1" applyNumberFormat="1" applyFont="1" applyAlignment="1">
      <alignment vertical="top" wrapText="1"/>
    </xf>
    <xf numFmtId="176" fontId="4" fillId="0" borderId="5" xfId="1" applyNumberFormat="1" applyFont="1" applyBorder="1" applyAlignment="1">
      <alignment vertical="top" wrapText="1"/>
    </xf>
    <xf numFmtId="0" fontId="5" fillId="3" borderId="0" xfId="1" applyFont="1" applyFill="1" applyAlignment="1">
      <alignment vertical="top" wrapText="1"/>
    </xf>
    <xf numFmtId="0" fontId="5" fillId="3" borderId="5" xfId="1" applyFont="1" applyFill="1" applyBorder="1" applyAlignment="1">
      <alignment vertical="top" wrapText="1"/>
    </xf>
    <xf numFmtId="0" fontId="8" fillId="6" borderId="6" xfId="1" applyFont="1" applyFill="1" applyBorder="1"/>
    <xf numFmtId="0" fontId="8" fillId="6" borderId="0" xfId="1" applyFont="1" applyFill="1" applyAlignment="1">
      <alignment horizontal="center" vertical="center" wrapText="1"/>
    </xf>
    <xf numFmtId="0" fontId="8" fillId="6" borderId="5" xfId="1" applyFont="1" applyFill="1" applyBorder="1" applyAlignment="1">
      <alignment horizontal="center" vertical="center" wrapText="1"/>
    </xf>
    <xf numFmtId="0" fontId="8" fillId="3" borderId="0" xfId="1" applyFont="1" applyFill="1" applyAlignment="1">
      <alignment vertical="top" wrapText="1"/>
    </xf>
    <xf numFmtId="0" fontId="8" fillId="3" borderId="5" xfId="1" applyFont="1" applyFill="1" applyBorder="1" applyAlignment="1">
      <alignment vertical="top" wrapText="1"/>
    </xf>
    <xf numFmtId="0" fontId="8" fillId="7" borderId="0" xfId="1" applyFont="1" applyFill="1" applyAlignment="1">
      <alignment horizontal="center" vertical="center" wrapText="1"/>
    </xf>
    <xf numFmtId="0" fontId="4" fillId="7" borderId="0" xfId="1" applyFont="1" applyFill="1" applyAlignment="1">
      <alignment vertical="top" wrapText="1"/>
    </xf>
    <xf numFmtId="0" fontId="8" fillId="7" borderId="0" xfId="1" applyFont="1" applyFill="1" applyAlignment="1">
      <alignment vertical="top" wrapText="1"/>
    </xf>
    <xf numFmtId="9" fontId="4" fillId="0" borderId="0" xfId="1" applyNumberFormat="1" applyFont="1" applyAlignment="1">
      <alignment vertical="top" wrapText="1"/>
    </xf>
    <xf numFmtId="9" fontId="4" fillId="0" borderId="5" xfId="1" applyNumberFormat="1" applyFont="1" applyBorder="1" applyAlignment="1">
      <alignment vertical="top" wrapText="1"/>
    </xf>
    <xf numFmtId="0" fontId="1" fillId="0" borderId="0" xfId="1" applyFont="1"/>
    <xf numFmtId="0" fontId="0" fillId="0" borderId="0" xfId="0"/>
    <xf numFmtId="0" fontId="2" fillId="0" borderId="0" xfId="1" applyFont="1"/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horizontal="center"/>
    </xf>
    <xf numFmtId="0" fontId="7" fillId="5" borderId="0" xfId="1" applyFont="1" applyFill="1" applyAlignment="1">
      <alignment vertical="top" wrapText="1"/>
    </xf>
    <xf numFmtId="0" fontId="8" fillId="6" borderId="6" xfId="1" applyFont="1" applyFill="1" applyBorder="1"/>
    <xf numFmtId="0" fontId="9" fillId="7" borderId="0" xfId="1" applyFont="1" applyFill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7">
    <dxf>
      <font>
        <b/>
        <color rgb="FFA61B1B"/>
      </font>
      <fill>
        <patternFill patternType="solid">
          <bgColor rgb="FFF4CCCC"/>
        </patternFill>
      </fill>
    </dxf>
    <dxf>
      <font>
        <b/>
        <color rgb="FF246B3C"/>
      </font>
      <fill>
        <patternFill patternType="solid">
          <bgColor rgb="FFD9EAD3"/>
        </patternFill>
      </fill>
    </dxf>
    <dxf>
      <font>
        <b/>
        <color rgb="FFA61B1B"/>
      </font>
      <fill>
        <patternFill patternType="solid">
          <bgColor rgb="FFF4CCCC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246B3C"/>
      </font>
      <fill>
        <patternFill patternType="solid">
          <bgColor rgb="FFD9EAD3"/>
        </patternFill>
      </fill>
    </dxf>
    <dxf>
      <font>
        <b/>
        <color rgb="FF8A5A00"/>
      </font>
      <fill>
        <patternFill patternType="solid">
          <bgColor rgb="FFFFF2CC"/>
        </patternFill>
      </fill>
    </dxf>
    <dxf>
      <font>
        <b/>
        <color rgb="FF246B3C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itialRoundTasks" displayName="InitialRoundTasks" ref="A5:N35" totalsRowShown="0">
  <tableColumns count="14">
    <tableColumn id="1" xr3:uid="{00000000-0010-0000-0000-000001000000}" name="任務 ID"/>
    <tableColumn id="2" xr3:uid="{00000000-0010-0000-0000-000002000000}" name="週別"/>
    <tableColumn id="3" xr3:uid="{00000000-0010-0000-0000-000003000000}" name="功能"/>
    <tableColumn id="4" xr3:uid="{00000000-0010-0000-0000-000004000000}" name="定位"/>
    <tableColumn id="5" xr3:uid="{00000000-0010-0000-0000-000005000000}" name="點數"/>
    <tableColumn id="6" xr3:uid="{00000000-0010-0000-0000-000006000000}" name="主責"/>
    <tableColumn id="7" xr3:uid="{00000000-0010-0000-0000-000007000000}" name="協作"/>
    <tableColumn id="8" xr3:uid="{00000000-0010-0000-0000-000008000000}" name="小步驟"/>
    <tableColumn id="9" xr3:uid="{00000000-0010-0000-0000-000009000000}" name="測試方法"/>
    <tableColumn id="10" xr3:uid="{00000000-0010-0000-0000-00000A000000}" name="初審通過標準"/>
    <tableColumn id="11" xr3:uid="{00000000-0010-0000-0000-00000B000000}" name="交付物"/>
    <tableColumn id="12" xr3:uid="{00000000-0010-0000-0000-00000C000000}" name="狀態"/>
    <tableColumn id="13" xr3:uid="{00000000-0010-0000-0000-00000D000000}" name="完成率"/>
    <tableColumn id="14" xr3:uid="{00000000-0010-0000-0000-00000E000000}" name="阻塞／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2:L22"/>
  <sheetViews>
    <sheetView showGridLines="0" tabSelected="1" zoomScale="125" workbookViewId="0">
      <pane ySplit="15" topLeftCell="A16" activePane="bottomLeft" state="frozen"/>
      <selection pane="bottomLeft" activeCell="M6" sqref="M6"/>
    </sheetView>
  </sheetViews>
  <sheetFormatPr baseColWidth="10" defaultColWidth="8.83203125" defaultRowHeight="14"/>
  <cols>
    <col min="1" max="1" width="10" customWidth="1"/>
    <col min="2" max="2" width="22" customWidth="1"/>
    <col min="3" max="3" width="14" customWidth="1"/>
    <col min="4" max="4" width="11" customWidth="1"/>
    <col min="5" max="9" width="7" customWidth="1"/>
    <col min="10" max="10" width="12" customWidth="1"/>
    <col min="11" max="12" width="31" customWidth="1"/>
  </cols>
  <sheetData>
    <row r="2" spans="1:12" ht="20">
      <c r="A2" s="21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>
      <c r="A3" s="23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6" spans="1:12">
      <c r="A6" s="2" t="s">
        <v>2</v>
      </c>
      <c r="B6" s="3" t="s">
        <v>3</v>
      </c>
      <c r="C6" s="3" t="s">
        <v>4</v>
      </c>
      <c r="D6" s="4" t="s">
        <v>5</v>
      </c>
      <c r="F6" s="24" t="s">
        <v>6</v>
      </c>
      <c r="G6" s="25"/>
      <c r="H6" s="25"/>
      <c r="I6" s="25"/>
      <c r="J6" s="25"/>
      <c r="K6" s="25"/>
      <c r="L6" s="26"/>
    </row>
    <row r="7" spans="1:12" ht="38" customHeight="1">
      <c r="A7" s="9" t="s">
        <v>7</v>
      </c>
      <c r="B7" s="5" t="s">
        <v>8</v>
      </c>
      <c r="C7" s="7">
        <f>SUM(E16:E21)</f>
        <v>9</v>
      </c>
      <c r="D7" s="5" t="s">
        <v>9</v>
      </c>
      <c r="F7" s="22" t="s">
        <v>10</v>
      </c>
      <c r="G7" s="22"/>
      <c r="H7" s="22"/>
      <c r="I7" s="22"/>
      <c r="J7" s="22"/>
      <c r="K7" s="22"/>
      <c r="L7" s="22"/>
    </row>
    <row r="8" spans="1:12" ht="38" customHeight="1">
      <c r="A8" s="9" t="s">
        <v>11</v>
      </c>
      <c r="B8" s="5" t="s">
        <v>12</v>
      </c>
      <c r="C8" s="7">
        <f>SUM(F16:F21)</f>
        <v>9</v>
      </c>
      <c r="D8" s="5" t="s">
        <v>13</v>
      </c>
      <c r="F8" s="27">
        <f>MAX(C7:C11)-MIN(C7:C11)</f>
        <v>1</v>
      </c>
      <c r="G8" s="22"/>
      <c r="H8" s="22"/>
      <c r="I8" s="22"/>
      <c r="J8" s="22"/>
      <c r="K8" s="22"/>
      <c r="L8" s="22"/>
    </row>
    <row r="9" spans="1:12" ht="38" customHeight="1">
      <c r="A9" s="9" t="s">
        <v>14</v>
      </c>
      <c r="B9" s="5" t="s">
        <v>15</v>
      </c>
      <c r="C9" s="7">
        <f>SUM(G16:G21)</f>
        <v>9</v>
      </c>
      <c r="D9" s="5" t="s">
        <v>16</v>
      </c>
      <c r="F9" s="28" t="s">
        <v>17</v>
      </c>
      <c r="G9" s="22"/>
      <c r="H9" s="22"/>
      <c r="I9" s="22"/>
      <c r="J9" s="22"/>
      <c r="K9" s="22"/>
      <c r="L9" s="22"/>
    </row>
    <row r="10" spans="1:12" ht="38" customHeight="1">
      <c r="A10" s="9" t="s">
        <v>18</v>
      </c>
      <c r="B10" s="5" t="s">
        <v>19</v>
      </c>
      <c r="C10" s="7">
        <f>SUM(H16:H21)</f>
        <v>9</v>
      </c>
      <c r="D10" s="5" t="s">
        <v>20</v>
      </c>
      <c r="F10" s="22"/>
      <c r="G10" s="22"/>
      <c r="H10" s="22"/>
      <c r="I10" s="22"/>
      <c r="J10" s="22"/>
      <c r="K10" s="22"/>
      <c r="L10" s="22"/>
    </row>
    <row r="11" spans="1:12" ht="38" customHeight="1">
      <c r="A11" s="10" t="s">
        <v>21</v>
      </c>
      <c r="B11" s="6" t="s">
        <v>22</v>
      </c>
      <c r="C11" s="8">
        <f>SUM(I16:I21)</f>
        <v>8</v>
      </c>
      <c r="D11" s="6" t="s">
        <v>23</v>
      </c>
      <c r="F11" s="22"/>
      <c r="G11" s="22"/>
      <c r="H11" s="22"/>
      <c r="I11" s="22"/>
      <c r="J11" s="22"/>
      <c r="K11" s="22"/>
      <c r="L11" s="22"/>
    </row>
    <row r="15" spans="1:12">
      <c r="A15" s="2" t="s">
        <v>24</v>
      </c>
      <c r="B15" s="3" t="s">
        <v>25</v>
      </c>
      <c r="C15" s="3" t="s">
        <v>26</v>
      </c>
      <c r="D15" s="3" t="s">
        <v>27</v>
      </c>
      <c r="E15" s="3" t="s">
        <v>7</v>
      </c>
      <c r="F15" s="3" t="s">
        <v>11</v>
      </c>
      <c r="G15" s="3" t="s">
        <v>14</v>
      </c>
      <c r="H15" s="3" t="s">
        <v>18</v>
      </c>
      <c r="I15" s="3" t="s">
        <v>21</v>
      </c>
      <c r="J15" s="3" t="s">
        <v>28</v>
      </c>
      <c r="K15" s="3" t="s">
        <v>29</v>
      </c>
      <c r="L15" s="4" t="s">
        <v>30</v>
      </c>
    </row>
    <row r="16" spans="1:12" ht="58" customHeight="1">
      <c r="A16" s="5">
        <v>1</v>
      </c>
      <c r="B16" s="5" t="s">
        <v>31</v>
      </c>
      <c r="C16" s="5" t="s">
        <v>32</v>
      </c>
      <c r="D16" s="5">
        <v>8</v>
      </c>
      <c r="E16" s="5">
        <v>4</v>
      </c>
      <c r="F16" s="5">
        <v>0</v>
      </c>
      <c r="G16" s="5">
        <v>4</v>
      </c>
      <c r="H16" s="5">
        <v>0</v>
      </c>
      <c r="I16" s="5">
        <v>0</v>
      </c>
      <c r="J16" s="5" t="s">
        <v>33</v>
      </c>
      <c r="K16" s="5" t="s">
        <v>34</v>
      </c>
      <c r="L16" s="5" t="s">
        <v>35</v>
      </c>
    </row>
    <row r="17" spans="1:12" ht="58" customHeight="1">
      <c r="A17" s="5">
        <v>2</v>
      </c>
      <c r="B17" s="5" t="s">
        <v>36</v>
      </c>
      <c r="C17" s="5" t="s">
        <v>37</v>
      </c>
      <c r="D17" s="5">
        <v>7</v>
      </c>
      <c r="E17" s="5">
        <v>0</v>
      </c>
      <c r="F17" s="5">
        <v>5</v>
      </c>
      <c r="G17" s="5">
        <v>0</v>
      </c>
      <c r="H17" s="5">
        <v>0</v>
      </c>
      <c r="I17" s="5">
        <v>2</v>
      </c>
      <c r="J17" s="5" t="s">
        <v>38</v>
      </c>
      <c r="K17" s="5" t="s">
        <v>39</v>
      </c>
      <c r="L17" s="5" t="s">
        <v>40</v>
      </c>
    </row>
    <row r="18" spans="1:12" ht="58" customHeight="1">
      <c r="A18" s="5">
        <v>3</v>
      </c>
      <c r="B18" s="5" t="s">
        <v>41</v>
      </c>
      <c r="C18" s="5" t="s">
        <v>42</v>
      </c>
      <c r="D18" s="5">
        <v>10</v>
      </c>
      <c r="E18" s="5">
        <v>5</v>
      </c>
      <c r="F18" s="5">
        <v>0</v>
      </c>
      <c r="G18" s="5">
        <v>0</v>
      </c>
      <c r="H18" s="5">
        <v>0</v>
      </c>
      <c r="I18" s="5">
        <v>5</v>
      </c>
      <c r="J18" s="5" t="s">
        <v>43</v>
      </c>
      <c r="K18" s="5" t="s">
        <v>44</v>
      </c>
      <c r="L18" s="5" t="s">
        <v>45</v>
      </c>
    </row>
    <row r="19" spans="1:12" ht="58" customHeight="1">
      <c r="A19" s="5">
        <v>4</v>
      </c>
      <c r="B19" s="5" t="s">
        <v>46</v>
      </c>
      <c r="C19" s="5" t="s">
        <v>37</v>
      </c>
      <c r="D19" s="5">
        <v>5</v>
      </c>
      <c r="E19" s="5">
        <v>0</v>
      </c>
      <c r="F19" s="5">
        <v>4</v>
      </c>
      <c r="G19" s="5">
        <v>0</v>
      </c>
      <c r="H19" s="5">
        <v>0</v>
      </c>
      <c r="I19" s="5">
        <v>1</v>
      </c>
      <c r="J19" s="5" t="s">
        <v>38</v>
      </c>
      <c r="K19" s="5" t="s">
        <v>47</v>
      </c>
      <c r="L19" s="5" t="s">
        <v>48</v>
      </c>
    </row>
    <row r="20" spans="1:12" ht="58" customHeight="1">
      <c r="A20" s="5">
        <v>5</v>
      </c>
      <c r="B20" s="5" t="s">
        <v>49</v>
      </c>
      <c r="C20" s="5" t="s">
        <v>32</v>
      </c>
      <c r="D20" s="5">
        <v>6</v>
      </c>
      <c r="E20" s="5">
        <v>0</v>
      </c>
      <c r="F20" s="5">
        <v>0</v>
      </c>
      <c r="G20" s="5">
        <v>3</v>
      </c>
      <c r="H20" s="5">
        <v>3</v>
      </c>
      <c r="I20" s="5">
        <v>0</v>
      </c>
      <c r="J20" s="5" t="s">
        <v>50</v>
      </c>
      <c r="K20" s="5" t="s">
        <v>51</v>
      </c>
      <c r="L20" s="5" t="s">
        <v>52</v>
      </c>
    </row>
    <row r="21" spans="1:12" ht="58" customHeight="1">
      <c r="A21" s="6">
        <v>6</v>
      </c>
      <c r="B21" s="6" t="s">
        <v>53</v>
      </c>
      <c r="C21" s="6" t="s">
        <v>32</v>
      </c>
      <c r="D21" s="6">
        <v>8</v>
      </c>
      <c r="E21" s="6">
        <v>0</v>
      </c>
      <c r="F21" s="6">
        <v>0</v>
      </c>
      <c r="G21" s="6">
        <v>2</v>
      </c>
      <c r="H21" s="6">
        <v>6</v>
      </c>
      <c r="I21" s="6">
        <v>0</v>
      </c>
      <c r="J21" s="6" t="s">
        <v>54</v>
      </c>
      <c r="K21" s="6" t="s">
        <v>55</v>
      </c>
      <c r="L21" s="6" t="s">
        <v>56</v>
      </c>
    </row>
    <row r="22" spans="1:12">
      <c r="A22" s="29" t="s">
        <v>57</v>
      </c>
      <c r="B22" s="29"/>
      <c r="C22" s="29"/>
      <c r="D22" s="11">
        <f t="shared" ref="D22:I22" si="0">SUM(D16:D21)</f>
        <v>44</v>
      </c>
      <c r="E22" s="11">
        <f t="shared" si="0"/>
        <v>9</v>
      </c>
      <c r="F22" s="11">
        <f t="shared" si="0"/>
        <v>9</v>
      </c>
      <c r="G22" s="11">
        <f t="shared" si="0"/>
        <v>9</v>
      </c>
      <c r="H22" s="11">
        <f t="shared" si="0"/>
        <v>9</v>
      </c>
      <c r="I22" s="11">
        <f t="shared" si="0"/>
        <v>8</v>
      </c>
      <c r="J22" s="29" t="s">
        <v>58</v>
      </c>
      <c r="K22" s="29"/>
      <c r="L22" s="29"/>
    </row>
  </sheetData>
  <mergeCells count="8">
    <mergeCell ref="F9:L11"/>
    <mergeCell ref="A22:C22"/>
    <mergeCell ref="J22:L22"/>
    <mergeCell ref="A2:L2"/>
    <mergeCell ref="A3:L3"/>
    <mergeCell ref="F6:L6"/>
    <mergeCell ref="F7:L7"/>
    <mergeCell ref="F8:L8"/>
  </mergeCells>
  <phoneticPr fontId="11" type="noConversion"/>
  <conditionalFormatting sqref="C16:C21">
    <cfRule type="containsText" dxfId="6" priority="1" operator="containsText" text="必做"/>
    <cfRule type="containsText" dxfId="5" priority="2" operator="containsText" text="加分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2:G12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6" width="31" customWidth="1"/>
    <col min="7" max="7" width="25" customWidth="1"/>
  </cols>
  <sheetData>
    <row r="2" spans="1:7" ht="20">
      <c r="A2" s="21" t="s">
        <v>59</v>
      </c>
      <c r="B2" s="22"/>
      <c r="C2" s="22"/>
      <c r="D2" s="22"/>
      <c r="E2" s="22"/>
      <c r="F2" s="22"/>
      <c r="G2" s="22"/>
    </row>
    <row r="3" spans="1:7">
      <c r="A3" s="23" t="s">
        <v>60</v>
      </c>
      <c r="B3" s="22"/>
      <c r="C3" s="22"/>
      <c r="D3" s="22"/>
      <c r="E3" s="22"/>
      <c r="F3" s="22"/>
      <c r="G3" s="22"/>
    </row>
    <row r="4" spans="1:7">
      <c r="A4" s="1"/>
      <c r="B4" s="1"/>
      <c r="C4" s="1"/>
      <c r="D4" s="1"/>
      <c r="E4" s="1"/>
      <c r="F4" s="1"/>
      <c r="G4" s="1"/>
    </row>
    <row r="6" spans="1:7">
      <c r="A6" s="2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3" t="s">
        <v>66</v>
      </c>
      <c r="G6" s="4" t="s">
        <v>67</v>
      </c>
    </row>
    <row r="7" spans="1:7" ht="82" customHeight="1">
      <c r="A7" s="12" t="s">
        <v>68</v>
      </c>
      <c r="B7" s="5" t="s">
        <v>69</v>
      </c>
      <c r="C7" s="5" t="s">
        <v>70</v>
      </c>
      <c r="D7" s="5" t="s">
        <v>71</v>
      </c>
      <c r="E7" s="5" t="s">
        <v>72</v>
      </c>
      <c r="F7" s="5" t="s">
        <v>73</v>
      </c>
      <c r="G7" s="14" t="s">
        <v>74</v>
      </c>
    </row>
    <row r="8" spans="1:7" ht="82" customHeight="1">
      <c r="A8" s="12" t="s">
        <v>75</v>
      </c>
      <c r="B8" s="5" t="s">
        <v>76</v>
      </c>
      <c r="C8" s="5" t="s">
        <v>77</v>
      </c>
      <c r="D8" s="5" t="s">
        <v>78</v>
      </c>
      <c r="E8" s="5" t="s">
        <v>79</v>
      </c>
      <c r="F8" s="5" t="s">
        <v>80</v>
      </c>
      <c r="G8" s="14" t="s">
        <v>81</v>
      </c>
    </row>
    <row r="9" spans="1:7" ht="82" customHeight="1">
      <c r="A9" s="12" t="s">
        <v>82</v>
      </c>
      <c r="B9" s="5" t="s">
        <v>83</v>
      </c>
      <c r="C9" s="5" t="s">
        <v>84</v>
      </c>
      <c r="D9" s="5" t="s">
        <v>85</v>
      </c>
      <c r="E9" s="5" t="s">
        <v>86</v>
      </c>
      <c r="F9" s="5" t="s">
        <v>87</v>
      </c>
      <c r="G9" s="14" t="s">
        <v>88</v>
      </c>
    </row>
    <row r="10" spans="1:7" ht="82" customHeight="1">
      <c r="A10" s="12" t="s">
        <v>89</v>
      </c>
      <c r="B10" s="5" t="s">
        <v>90</v>
      </c>
      <c r="C10" s="5" t="s">
        <v>91</v>
      </c>
      <c r="D10" s="5" t="s">
        <v>92</v>
      </c>
      <c r="E10" s="5" t="s">
        <v>93</v>
      </c>
      <c r="F10" s="5" t="s">
        <v>94</v>
      </c>
      <c r="G10" s="14" t="s">
        <v>95</v>
      </c>
    </row>
    <row r="11" spans="1:7" ht="82" customHeight="1">
      <c r="A11" s="16" t="s">
        <v>96</v>
      </c>
      <c r="B11" s="17" t="s">
        <v>97</v>
      </c>
      <c r="C11" s="17" t="s">
        <v>98</v>
      </c>
      <c r="D11" s="17" t="s">
        <v>99</v>
      </c>
      <c r="E11" s="17" t="s">
        <v>100</v>
      </c>
      <c r="F11" s="17" t="s">
        <v>101</v>
      </c>
      <c r="G11" s="18" t="s">
        <v>102</v>
      </c>
    </row>
    <row r="12" spans="1:7" ht="82" customHeight="1">
      <c r="A12" s="13" t="s">
        <v>103</v>
      </c>
      <c r="B12" s="6" t="s">
        <v>104</v>
      </c>
      <c r="C12" s="6" t="s">
        <v>105</v>
      </c>
      <c r="D12" s="6" t="s">
        <v>106</v>
      </c>
      <c r="E12" s="6" t="s">
        <v>107</v>
      </c>
      <c r="F12" s="6" t="s">
        <v>108</v>
      </c>
      <c r="G12" s="15" t="s">
        <v>109</v>
      </c>
    </row>
  </sheetData>
  <mergeCells count="2">
    <mergeCell ref="A2:G2"/>
    <mergeCell ref="A3:G3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2:N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11" customWidth="1"/>
    <col min="2" max="2" width="12" customWidth="1"/>
    <col min="3" max="3" width="18" customWidth="1"/>
    <col min="4" max="4" width="12" customWidth="1"/>
    <col min="5" max="5" width="8" customWidth="1"/>
    <col min="6" max="7" width="9" customWidth="1"/>
    <col min="8" max="8" width="28" customWidth="1"/>
    <col min="9" max="10" width="31" customWidth="1"/>
    <col min="11" max="11" width="22" customWidth="1"/>
    <col min="12" max="13" width="10" customWidth="1"/>
    <col min="14" max="14" width="20" customWidth="1"/>
  </cols>
  <sheetData>
    <row r="2" spans="1:14" ht="20">
      <c r="A2" s="21" t="s">
        <v>110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>
      <c r="A3" s="23" t="s">
        <v>111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2" t="s">
        <v>112</v>
      </c>
      <c r="B5" s="3" t="s">
        <v>113</v>
      </c>
      <c r="C5" s="3" t="s">
        <v>25</v>
      </c>
      <c r="D5" s="3" t="s">
        <v>114</v>
      </c>
      <c r="E5" s="3" t="s">
        <v>115</v>
      </c>
      <c r="F5" s="3" t="s">
        <v>116</v>
      </c>
      <c r="G5" s="3" t="s">
        <v>117</v>
      </c>
      <c r="H5" s="3" t="s">
        <v>118</v>
      </c>
      <c r="I5" s="3" t="s">
        <v>119</v>
      </c>
      <c r="J5" s="3" t="s">
        <v>120</v>
      </c>
      <c r="K5" s="3" t="s">
        <v>121</v>
      </c>
      <c r="L5" s="3" t="s">
        <v>122</v>
      </c>
      <c r="M5" s="3" t="s">
        <v>123</v>
      </c>
      <c r="N5" s="4" t="s">
        <v>124</v>
      </c>
    </row>
    <row r="6" spans="1:14" ht="52" customHeight="1">
      <c r="A6" s="5" t="s">
        <v>125</v>
      </c>
      <c r="B6" s="5" t="s">
        <v>126</v>
      </c>
      <c r="C6" s="5" t="s">
        <v>127</v>
      </c>
      <c r="D6" s="5" t="s">
        <v>32</v>
      </c>
      <c r="E6" s="5">
        <v>1</v>
      </c>
      <c r="F6" s="5" t="s">
        <v>7</v>
      </c>
      <c r="G6" s="5" t="s">
        <v>21</v>
      </c>
      <c r="H6" s="5" t="s">
        <v>128</v>
      </c>
      <c r="I6" s="5" t="s">
        <v>129</v>
      </c>
      <c r="J6" s="5" t="s">
        <v>130</v>
      </c>
      <c r="K6" s="5" t="s">
        <v>131</v>
      </c>
      <c r="L6" s="5" t="s">
        <v>132</v>
      </c>
      <c r="M6" s="19">
        <v>0</v>
      </c>
      <c r="N6" s="5"/>
    </row>
    <row r="7" spans="1:14" ht="52" customHeight="1">
      <c r="A7" s="5" t="s">
        <v>133</v>
      </c>
      <c r="B7" s="5" t="s">
        <v>126</v>
      </c>
      <c r="C7" s="5" t="s">
        <v>127</v>
      </c>
      <c r="D7" s="5" t="s">
        <v>32</v>
      </c>
      <c r="E7" s="5">
        <v>1</v>
      </c>
      <c r="F7" s="5" t="s">
        <v>7</v>
      </c>
      <c r="G7" s="5" t="s">
        <v>21</v>
      </c>
      <c r="H7" s="5" t="s">
        <v>134</v>
      </c>
      <c r="I7" s="5" t="s">
        <v>135</v>
      </c>
      <c r="J7" s="5" t="s">
        <v>136</v>
      </c>
      <c r="K7" s="5" t="s">
        <v>131</v>
      </c>
      <c r="L7" s="5" t="s">
        <v>132</v>
      </c>
      <c r="M7" s="19">
        <v>0</v>
      </c>
      <c r="N7" s="5"/>
    </row>
    <row r="8" spans="1:14" ht="52" customHeight="1">
      <c r="A8" s="5" t="s">
        <v>137</v>
      </c>
      <c r="B8" s="5" t="s">
        <v>126</v>
      </c>
      <c r="C8" s="5" t="s">
        <v>127</v>
      </c>
      <c r="D8" s="5" t="s">
        <v>32</v>
      </c>
      <c r="E8" s="5">
        <v>1</v>
      </c>
      <c r="F8" s="5" t="s">
        <v>7</v>
      </c>
      <c r="G8" s="5" t="s">
        <v>21</v>
      </c>
      <c r="H8" s="5" t="s">
        <v>138</v>
      </c>
      <c r="I8" s="5" t="s">
        <v>139</v>
      </c>
      <c r="J8" s="5" t="s">
        <v>140</v>
      </c>
      <c r="K8" s="5" t="s">
        <v>141</v>
      </c>
      <c r="L8" s="5" t="s">
        <v>132</v>
      </c>
      <c r="M8" s="19">
        <v>0</v>
      </c>
      <c r="N8" s="5"/>
    </row>
    <row r="9" spans="1:14" ht="52" customHeight="1">
      <c r="A9" s="5" t="s">
        <v>142</v>
      </c>
      <c r="B9" s="5" t="s">
        <v>126</v>
      </c>
      <c r="C9" s="5" t="s">
        <v>127</v>
      </c>
      <c r="D9" s="5" t="s">
        <v>32</v>
      </c>
      <c r="E9" s="5">
        <v>1</v>
      </c>
      <c r="F9" s="5" t="s">
        <v>14</v>
      </c>
      <c r="G9" s="5" t="s">
        <v>7</v>
      </c>
      <c r="H9" s="5" t="s">
        <v>143</v>
      </c>
      <c r="I9" s="5" t="s">
        <v>144</v>
      </c>
      <c r="J9" s="5" t="s">
        <v>145</v>
      </c>
      <c r="K9" s="5" t="s">
        <v>146</v>
      </c>
      <c r="L9" s="5" t="s">
        <v>132</v>
      </c>
      <c r="M9" s="19">
        <v>0</v>
      </c>
      <c r="N9" s="5"/>
    </row>
    <row r="10" spans="1:14" ht="52" customHeight="1">
      <c r="A10" s="5" t="s">
        <v>147</v>
      </c>
      <c r="B10" s="5" t="s">
        <v>126</v>
      </c>
      <c r="C10" s="5" t="s">
        <v>148</v>
      </c>
      <c r="D10" s="5" t="s">
        <v>37</v>
      </c>
      <c r="E10" s="5">
        <v>1</v>
      </c>
      <c r="F10" s="5" t="s">
        <v>11</v>
      </c>
      <c r="G10" s="5" t="s">
        <v>21</v>
      </c>
      <c r="H10" s="5" t="s">
        <v>149</v>
      </c>
      <c r="I10" s="5" t="s">
        <v>150</v>
      </c>
      <c r="J10" s="5" t="s">
        <v>151</v>
      </c>
      <c r="K10" s="5" t="s">
        <v>152</v>
      </c>
      <c r="L10" s="5" t="s">
        <v>132</v>
      </c>
      <c r="M10" s="19">
        <v>0</v>
      </c>
      <c r="N10" s="5"/>
    </row>
    <row r="11" spans="1:14" ht="52" customHeight="1">
      <c r="A11" s="5" t="s">
        <v>153</v>
      </c>
      <c r="B11" s="5" t="s">
        <v>126</v>
      </c>
      <c r="C11" s="5" t="s">
        <v>154</v>
      </c>
      <c r="D11" s="5" t="s">
        <v>32</v>
      </c>
      <c r="E11" s="5">
        <v>1</v>
      </c>
      <c r="F11" s="5" t="s">
        <v>21</v>
      </c>
      <c r="G11" s="5" t="s">
        <v>7</v>
      </c>
      <c r="H11" s="5" t="s">
        <v>155</v>
      </c>
      <c r="I11" s="5" t="s">
        <v>156</v>
      </c>
      <c r="J11" s="5" t="s">
        <v>157</v>
      </c>
      <c r="K11" s="5" t="s">
        <v>158</v>
      </c>
      <c r="L11" s="5" t="s">
        <v>132</v>
      </c>
      <c r="M11" s="19">
        <v>0</v>
      </c>
      <c r="N11" s="5"/>
    </row>
    <row r="12" spans="1:14" ht="52" customHeight="1">
      <c r="A12" s="5" t="s">
        <v>159</v>
      </c>
      <c r="B12" s="5" t="s">
        <v>126</v>
      </c>
      <c r="C12" s="5" t="s">
        <v>160</v>
      </c>
      <c r="D12" s="5" t="s">
        <v>32</v>
      </c>
      <c r="E12" s="5">
        <v>1</v>
      </c>
      <c r="F12" s="5" t="s">
        <v>18</v>
      </c>
      <c r="G12" s="5" t="s">
        <v>14</v>
      </c>
      <c r="H12" s="5" t="s">
        <v>161</v>
      </c>
      <c r="I12" s="5" t="s">
        <v>162</v>
      </c>
      <c r="J12" s="5" t="s">
        <v>163</v>
      </c>
      <c r="K12" s="5" t="s">
        <v>164</v>
      </c>
      <c r="L12" s="5" t="s">
        <v>132</v>
      </c>
      <c r="M12" s="19">
        <v>0</v>
      </c>
      <c r="N12" s="5"/>
    </row>
    <row r="13" spans="1:14" ht="52" customHeight="1">
      <c r="A13" s="5" t="s">
        <v>165</v>
      </c>
      <c r="B13" s="5" t="s">
        <v>166</v>
      </c>
      <c r="C13" s="5" t="s">
        <v>154</v>
      </c>
      <c r="D13" s="5" t="s">
        <v>32</v>
      </c>
      <c r="E13" s="5">
        <v>2</v>
      </c>
      <c r="F13" s="5" t="s">
        <v>7</v>
      </c>
      <c r="G13" s="5" t="s">
        <v>21</v>
      </c>
      <c r="H13" s="5" t="s">
        <v>167</v>
      </c>
      <c r="I13" s="5" t="s">
        <v>168</v>
      </c>
      <c r="J13" s="5" t="s">
        <v>169</v>
      </c>
      <c r="K13" s="5" t="s">
        <v>170</v>
      </c>
      <c r="L13" s="5" t="s">
        <v>132</v>
      </c>
      <c r="M13" s="19">
        <v>0</v>
      </c>
      <c r="N13" s="5"/>
    </row>
    <row r="14" spans="1:14" ht="52" customHeight="1">
      <c r="A14" s="5" t="s">
        <v>171</v>
      </c>
      <c r="B14" s="5" t="s">
        <v>166</v>
      </c>
      <c r="C14" s="5" t="s">
        <v>154</v>
      </c>
      <c r="D14" s="5" t="s">
        <v>32</v>
      </c>
      <c r="E14" s="5">
        <v>2</v>
      </c>
      <c r="F14" s="5" t="s">
        <v>7</v>
      </c>
      <c r="G14" s="5" t="s">
        <v>21</v>
      </c>
      <c r="H14" s="5" t="s">
        <v>172</v>
      </c>
      <c r="I14" s="5" t="s">
        <v>173</v>
      </c>
      <c r="J14" s="5" t="s">
        <v>174</v>
      </c>
      <c r="K14" s="5" t="s">
        <v>175</v>
      </c>
      <c r="L14" s="5" t="s">
        <v>132</v>
      </c>
      <c r="M14" s="19">
        <v>0</v>
      </c>
      <c r="N14" s="5"/>
    </row>
    <row r="15" spans="1:14" ht="52" customHeight="1">
      <c r="A15" s="5" t="s">
        <v>176</v>
      </c>
      <c r="B15" s="5" t="s">
        <v>166</v>
      </c>
      <c r="C15" s="5" t="s">
        <v>177</v>
      </c>
      <c r="D15" s="5" t="s">
        <v>37</v>
      </c>
      <c r="E15" s="5">
        <v>2</v>
      </c>
      <c r="F15" s="5" t="s">
        <v>11</v>
      </c>
      <c r="G15" s="5" t="s">
        <v>21</v>
      </c>
      <c r="H15" s="5" t="s">
        <v>178</v>
      </c>
      <c r="I15" s="5" t="s">
        <v>179</v>
      </c>
      <c r="J15" s="5" t="s">
        <v>180</v>
      </c>
      <c r="K15" s="5" t="s">
        <v>181</v>
      </c>
      <c r="L15" s="5" t="s">
        <v>132</v>
      </c>
      <c r="M15" s="19">
        <v>0</v>
      </c>
      <c r="N15" s="5"/>
    </row>
    <row r="16" spans="1:14" ht="52" customHeight="1">
      <c r="A16" s="5" t="s">
        <v>182</v>
      </c>
      <c r="B16" s="5" t="s">
        <v>166</v>
      </c>
      <c r="C16" s="5" t="s">
        <v>127</v>
      </c>
      <c r="D16" s="5" t="s">
        <v>32</v>
      </c>
      <c r="E16" s="5">
        <v>1</v>
      </c>
      <c r="F16" s="5" t="s">
        <v>14</v>
      </c>
      <c r="G16" s="5" t="s">
        <v>7</v>
      </c>
      <c r="H16" s="5" t="s">
        <v>183</v>
      </c>
      <c r="I16" s="5" t="s">
        <v>184</v>
      </c>
      <c r="J16" s="5" t="s">
        <v>185</v>
      </c>
      <c r="K16" s="5" t="s">
        <v>186</v>
      </c>
      <c r="L16" s="5" t="s">
        <v>132</v>
      </c>
      <c r="M16" s="19">
        <v>0</v>
      </c>
      <c r="N16" s="5"/>
    </row>
    <row r="17" spans="1:14" ht="52" customHeight="1">
      <c r="A17" s="5" t="s">
        <v>187</v>
      </c>
      <c r="B17" s="5" t="s">
        <v>166</v>
      </c>
      <c r="C17" s="5" t="s">
        <v>160</v>
      </c>
      <c r="D17" s="5" t="s">
        <v>32</v>
      </c>
      <c r="E17" s="5">
        <v>1</v>
      </c>
      <c r="F17" s="5" t="s">
        <v>18</v>
      </c>
      <c r="G17" s="5" t="s">
        <v>14</v>
      </c>
      <c r="H17" s="5" t="s">
        <v>188</v>
      </c>
      <c r="I17" s="5" t="s">
        <v>189</v>
      </c>
      <c r="J17" s="5" t="s">
        <v>190</v>
      </c>
      <c r="K17" s="5" t="s">
        <v>191</v>
      </c>
      <c r="L17" s="5" t="s">
        <v>132</v>
      </c>
      <c r="M17" s="19">
        <v>0</v>
      </c>
      <c r="N17" s="5"/>
    </row>
    <row r="18" spans="1:14" ht="52" customHeight="1">
      <c r="A18" s="5" t="s">
        <v>192</v>
      </c>
      <c r="B18" s="5" t="s">
        <v>166</v>
      </c>
      <c r="C18" s="5" t="s">
        <v>193</v>
      </c>
      <c r="D18" s="5" t="s">
        <v>32</v>
      </c>
      <c r="E18" s="5">
        <v>1</v>
      </c>
      <c r="F18" s="5" t="s">
        <v>21</v>
      </c>
      <c r="G18" s="5" t="s">
        <v>194</v>
      </c>
      <c r="H18" s="5" t="s">
        <v>195</v>
      </c>
      <c r="I18" s="5" t="s">
        <v>196</v>
      </c>
      <c r="J18" s="5" t="s">
        <v>197</v>
      </c>
      <c r="K18" s="5" t="s">
        <v>198</v>
      </c>
      <c r="L18" s="5" t="s">
        <v>132</v>
      </c>
      <c r="M18" s="19">
        <v>0</v>
      </c>
      <c r="N18" s="5"/>
    </row>
    <row r="19" spans="1:14" ht="52" customHeight="1">
      <c r="A19" s="5" t="s">
        <v>199</v>
      </c>
      <c r="B19" s="5" t="s">
        <v>200</v>
      </c>
      <c r="C19" s="5" t="s">
        <v>201</v>
      </c>
      <c r="D19" s="5" t="s">
        <v>37</v>
      </c>
      <c r="E19" s="5">
        <v>2</v>
      </c>
      <c r="F19" s="5" t="s">
        <v>11</v>
      </c>
      <c r="G19" s="5" t="s">
        <v>21</v>
      </c>
      <c r="H19" s="5" t="s">
        <v>202</v>
      </c>
      <c r="I19" s="5" t="s">
        <v>203</v>
      </c>
      <c r="J19" s="5" t="s">
        <v>204</v>
      </c>
      <c r="K19" s="5" t="s">
        <v>205</v>
      </c>
      <c r="L19" s="5" t="s">
        <v>132</v>
      </c>
      <c r="M19" s="19">
        <v>0</v>
      </c>
      <c r="N19" s="5"/>
    </row>
    <row r="20" spans="1:14" ht="52" customHeight="1">
      <c r="A20" s="5" t="s">
        <v>206</v>
      </c>
      <c r="B20" s="5" t="s">
        <v>200</v>
      </c>
      <c r="C20" s="5" t="s">
        <v>207</v>
      </c>
      <c r="D20" s="5" t="s">
        <v>32</v>
      </c>
      <c r="E20" s="5">
        <v>1</v>
      </c>
      <c r="F20" s="5" t="s">
        <v>18</v>
      </c>
      <c r="G20" s="5" t="s">
        <v>14</v>
      </c>
      <c r="H20" s="5" t="s">
        <v>208</v>
      </c>
      <c r="I20" s="5" t="s">
        <v>209</v>
      </c>
      <c r="J20" s="5" t="s">
        <v>210</v>
      </c>
      <c r="K20" s="5" t="s">
        <v>211</v>
      </c>
      <c r="L20" s="5" t="s">
        <v>132</v>
      </c>
      <c r="M20" s="19">
        <v>0</v>
      </c>
      <c r="N20" s="5"/>
    </row>
    <row r="21" spans="1:14" ht="52" customHeight="1">
      <c r="A21" s="5" t="s">
        <v>212</v>
      </c>
      <c r="B21" s="5" t="s">
        <v>200</v>
      </c>
      <c r="C21" s="5" t="s">
        <v>207</v>
      </c>
      <c r="D21" s="5" t="s">
        <v>32</v>
      </c>
      <c r="E21" s="5">
        <v>1</v>
      </c>
      <c r="F21" s="5" t="s">
        <v>14</v>
      </c>
      <c r="G21" s="5" t="s">
        <v>18</v>
      </c>
      <c r="H21" s="5" t="s">
        <v>213</v>
      </c>
      <c r="I21" s="5" t="s">
        <v>214</v>
      </c>
      <c r="J21" s="5" t="s">
        <v>215</v>
      </c>
      <c r="K21" s="5" t="s">
        <v>216</v>
      </c>
      <c r="L21" s="5" t="s">
        <v>132</v>
      </c>
      <c r="M21" s="19">
        <v>0</v>
      </c>
      <c r="N21" s="5"/>
    </row>
    <row r="22" spans="1:14" ht="52" customHeight="1">
      <c r="A22" s="5" t="s">
        <v>217</v>
      </c>
      <c r="B22" s="5" t="s">
        <v>200</v>
      </c>
      <c r="C22" s="5" t="s">
        <v>218</v>
      </c>
      <c r="D22" s="5" t="s">
        <v>32</v>
      </c>
      <c r="E22" s="5">
        <v>2</v>
      </c>
      <c r="F22" s="5" t="s">
        <v>18</v>
      </c>
      <c r="G22" s="5" t="s">
        <v>14</v>
      </c>
      <c r="H22" s="5" t="s">
        <v>219</v>
      </c>
      <c r="I22" s="5" t="s">
        <v>220</v>
      </c>
      <c r="J22" s="5" t="s">
        <v>221</v>
      </c>
      <c r="K22" s="5" t="s">
        <v>222</v>
      </c>
      <c r="L22" s="5" t="s">
        <v>132</v>
      </c>
      <c r="M22" s="19">
        <v>0</v>
      </c>
      <c r="N22" s="5"/>
    </row>
    <row r="23" spans="1:14" ht="52" customHeight="1">
      <c r="A23" s="5" t="s">
        <v>223</v>
      </c>
      <c r="B23" s="5" t="s">
        <v>200</v>
      </c>
      <c r="C23" s="5" t="s">
        <v>218</v>
      </c>
      <c r="D23" s="5" t="s">
        <v>32</v>
      </c>
      <c r="E23" s="5">
        <v>1</v>
      </c>
      <c r="F23" s="5" t="s">
        <v>14</v>
      </c>
      <c r="G23" s="5" t="s">
        <v>18</v>
      </c>
      <c r="H23" s="5" t="s">
        <v>224</v>
      </c>
      <c r="I23" s="5" t="s">
        <v>225</v>
      </c>
      <c r="J23" s="5" t="s">
        <v>226</v>
      </c>
      <c r="K23" s="5" t="s">
        <v>227</v>
      </c>
      <c r="L23" s="5" t="s">
        <v>132</v>
      </c>
      <c r="M23" s="19">
        <v>0</v>
      </c>
      <c r="N23" s="5"/>
    </row>
    <row r="24" spans="1:14" ht="52" customHeight="1">
      <c r="A24" s="5" t="s">
        <v>228</v>
      </c>
      <c r="B24" s="5" t="s">
        <v>200</v>
      </c>
      <c r="C24" s="5" t="s">
        <v>154</v>
      </c>
      <c r="D24" s="5" t="s">
        <v>32</v>
      </c>
      <c r="E24" s="5">
        <v>1</v>
      </c>
      <c r="F24" s="5" t="s">
        <v>7</v>
      </c>
      <c r="G24" s="5" t="s">
        <v>21</v>
      </c>
      <c r="H24" s="5" t="s">
        <v>229</v>
      </c>
      <c r="I24" s="5" t="s">
        <v>230</v>
      </c>
      <c r="J24" s="5" t="s">
        <v>231</v>
      </c>
      <c r="K24" s="5" t="s">
        <v>232</v>
      </c>
      <c r="L24" s="5" t="s">
        <v>132</v>
      </c>
      <c r="M24" s="19">
        <v>0</v>
      </c>
      <c r="N24" s="5"/>
    </row>
    <row r="25" spans="1:14" ht="52" customHeight="1">
      <c r="A25" s="5" t="s">
        <v>233</v>
      </c>
      <c r="B25" s="5" t="s">
        <v>200</v>
      </c>
      <c r="C25" s="5" t="s">
        <v>234</v>
      </c>
      <c r="D25" s="5" t="s">
        <v>32</v>
      </c>
      <c r="E25" s="5">
        <v>1</v>
      </c>
      <c r="F25" s="5" t="s">
        <v>21</v>
      </c>
      <c r="G25" s="5" t="s">
        <v>235</v>
      </c>
      <c r="H25" s="5" t="s">
        <v>236</v>
      </c>
      <c r="I25" s="5" t="s">
        <v>237</v>
      </c>
      <c r="J25" s="5" t="s">
        <v>238</v>
      </c>
      <c r="K25" s="5" t="s">
        <v>239</v>
      </c>
      <c r="L25" s="5" t="s">
        <v>132</v>
      </c>
      <c r="M25" s="19">
        <v>0</v>
      </c>
      <c r="N25" s="5"/>
    </row>
    <row r="26" spans="1:14" ht="52" customHeight="1">
      <c r="A26" s="5" t="s">
        <v>240</v>
      </c>
      <c r="B26" s="5" t="s">
        <v>241</v>
      </c>
      <c r="C26" s="5" t="s">
        <v>242</v>
      </c>
      <c r="D26" s="5" t="s">
        <v>32</v>
      </c>
      <c r="E26" s="5">
        <v>1</v>
      </c>
      <c r="F26" s="5" t="s">
        <v>7</v>
      </c>
      <c r="G26" s="5" t="s">
        <v>21</v>
      </c>
      <c r="H26" s="5" t="s">
        <v>243</v>
      </c>
      <c r="I26" s="5" t="s">
        <v>244</v>
      </c>
      <c r="J26" s="5" t="s">
        <v>245</v>
      </c>
      <c r="K26" s="5" t="s">
        <v>246</v>
      </c>
      <c r="L26" s="5" t="s">
        <v>132</v>
      </c>
      <c r="M26" s="19">
        <v>0</v>
      </c>
      <c r="N26" s="5"/>
    </row>
    <row r="27" spans="1:14" ht="52" customHeight="1">
      <c r="A27" s="5" t="s">
        <v>247</v>
      </c>
      <c r="B27" s="5" t="s">
        <v>241</v>
      </c>
      <c r="C27" s="5" t="s">
        <v>248</v>
      </c>
      <c r="D27" s="5" t="s">
        <v>37</v>
      </c>
      <c r="E27" s="5">
        <v>1</v>
      </c>
      <c r="F27" s="5" t="s">
        <v>11</v>
      </c>
      <c r="G27" s="5" t="s">
        <v>21</v>
      </c>
      <c r="H27" s="5" t="s">
        <v>249</v>
      </c>
      <c r="I27" s="5" t="s">
        <v>250</v>
      </c>
      <c r="J27" s="5" t="s">
        <v>251</v>
      </c>
      <c r="K27" s="5" t="s">
        <v>252</v>
      </c>
      <c r="L27" s="5" t="s">
        <v>132</v>
      </c>
      <c r="M27" s="19">
        <v>0</v>
      </c>
      <c r="N27" s="5"/>
    </row>
    <row r="28" spans="1:14" ht="52" customHeight="1">
      <c r="A28" s="5" t="s">
        <v>253</v>
      </c>
      <c r="B28" s="5" t="s">
        <v>241</v>
      </c>
      <c r="C28" s="5" t="s">
        <v>254</v>
      </c>
      <c r="D28" s="5" t="s">
        <v>32</v>
      </c>
      <c r="E28" s="5">
        <v>1</v>
      </c>
      <c r="F28" s="5" t="s">
        <v>14</v>
      </c>
      <c r="G28" s="5" t="s">
        <v>255</v>
      </c>
      <c r="H28" s="5" t="s">
        <v>256</v>
      </c>
      <c r="I28" s="5" t="s">
        <v>257</v>
      </c>
      <c r="J28" s="5" t="s">
        <v>258</v>
      </c>
      <c r="K28" s="5" t="s">
        <v>259</v>
      </c>
      <c r="L28" s="5" t="s">
        <v>132</v>
      </c>
      <c r="M28" s="19">
        <v>0</v>
      </c>
      <c r="N28" s="5"/>
    </row>
    <row r="29" spans="1:14" ht="52" customHeight="1">
      <c r="A29" s="5" t="s">
        <v>260</v>
      </c>
      <c r="B29" s="5" t="s">
        <v>241</v>
      </c>
      <c r="C29" s="5" t="s">
        <v>261</v>
      </c>
      <c r="D29" s="5" t="s">
        <v>32</v>
      </c>
      <c r="E29" s="5">
        <v>1</v>
      </c>
      <c r="F29" s="5" t="s">
        <v>18</v>
      </c>
      <c r="G29" s="5" t="s">
        <v>14</v>
      </c>
      <c r="H29" s="5" t="s">
        <v>262</v>
      </c>
      <c r="I29" s="5" t="s">
        <v>263</v>
      </c>
      <c r="J29" s="5" t="s">
        <v>264</v>
      </c>
      <c r="K29" s="5" t="s">
        <v>265</v>
      </c>
      <c r="L29" s="5" t="s">
        <v>132</v>
      </c>
      <c r="M29" s="19">
        <v>0</v>
      </c>
      <c r="N29" s="5"/>
    </row>
    <row r="30" spans="1:14" ht="52" customHeight="1">
      <c r="A30" s="5" t="s">
        <v>266</v>
      </c>
      <c r="B30" s="5" t="s">
        <v>241</v>
      </c>
      <c r="C30" s="5" t="s">
        <v>267</v>
      </c>
      <c r="D30" s="5" t="s">
        <v>32</v>
      </c>
      <c r="E30" s="5">
        <v>2</v>
      </c>
      <c r="F30" s="5" t="s">
        <v>21</v>
      </c>
      <c r="G30" s="5" t="s">
        <v>235</v>
      </c>
      <c r="H30" s="5" t="s">
        <v>268</v>
      </c>
      <c r="I30" s="5" t="s">
        <v>269</v>
      </c>
      <c r="J30" s="5" t="s">
        <v>270</v>
      </c>
      <c r="K30" s="5" t="s">
        <v>271</v>
      </c>
      <c r="L30" s="5" t="s">
        <v>132</v>
      </c>
      <c r="M30" s="19">
        <v>0</v>
      </c>
      <c r="N30" s="5"/>
    </row>
    <row r="31" spans="1:14" ht="52" customHeight="1">
      <c r="A31" s="5" t="s">
        <v>272</v>
      </c>
      <c r="B31" s="5" t="s">
        <v>241</v>
      </c>
      <c r="C31" s="5" t="s">
        <v>273</v>
      </c>
      <c r="D31" s="5" t="s">
        <v>32</v>
      </c>
      <c r="E31" s="5">
        <v>1</v>
      </c>
      <c r="F31" s="5" t="s">
        <v>21</v>
      </c>
      <c r="G31" s="5" t="s">
        <v>194</v>
      </c>
      <c r="H31" s="5" t="s">
        <v>274</v>
      </c>
      <c r="I31" s="5" t="s">
        <v>275</v>
      </c>
      <c r="J31" s="5" t="s">
        <v>276</v>
      </c>
      <c r="K31" s="5" t="s">
        <v>277</v>
      </c>
      <c r="L31" s="5" t="s">
        <v>132</v>
      </c>
      <c r="M31" s="19">
        <v>0</v>
      </c>
      <c r="N31" s="5"/>
    </row>
    <row r="32" spans="1:14" ht="52" customHeight="1">
      <c r="A32" s="5" t="s">
        <v>278</v>
      </c>
      <c r="B32" s="5" t="s">
        <v>279</v>
      </c>
      <c r="C32" s="5" t="s">
        <v>280</v>
      </c>
      <c r="D32" s="5" t="s">
        <v>32</v>
      </c>
      <c r="E32" s="5">
        <v>1</v>
      </c>
      <c r="F32" s="5" t="s">
        <v>194</v>
      </c>
      <c r="G32" s="5" t="s">
        <v>21</v>
      </c>
      <c r="H32" s="5" t="s">
        <v>281</v>
      </c>
      <c r="I32" s="5" t="s">
        <v>282</v>
      </c>
      <c r="J32" s="5" t="s">
        <v>283</v>
      </c>
      <c r="K32" s="5" t="s">
        <v>284</v>
      </c>
      <c r="L32" s="5" t="s">
        <v>132</v>
      </c>
      <c r="M32" s="19">
        <v>0</v>
      </c>
      <c r="N32" s="5"/>
    </row>
    <row r="33" spans="1:14" ht="52" customHeight="1">
      <c r="A33" s="5" t="s">
        <v>285</v>
      </c>
      <c r="B33" s="5" t="s">
        <v>279</v>
      </c>
      <c r="C33" s="5" t="s">
        <v>280</v>
      </c>
      <c r="D33" s="5" t="s">
        <v>32</v>
      </c>
      <c r="E33" s="5">
        <v>1</v>
      </c>
      <c r="F33" s="5" t="s">
        <v>286</v>
      </c>
      <c r="G33" s="5" t="s">
        <v>21</v>
      </c>
      <c r="H33" s="5" t="s">
        <v>287</v>
      </c>
      <c r="I33" s="5" t="s">
        <v>288</v>
      </c>
      <c r="J33" s="5" t="s">
        <v>289</v>
      </c>
      <c r="K33" s="5" t="s">
        <v>290</v>
      </c>
      <c r="L33" s="5" t="s">
        <v>132</v>
      </c>
      <c r="M33" s="19">
        <v>0</v>
      </c>
      <c r="N33" s="5"/>
    </row>
    <row r="34" spans="1:14" ht="52" customHeight="1">
      <c r="A34" s="5" t="s">
        <v>291</v>
      </c>
      <c r="B34" s="5" t="s">
        <v>279</v>
      </c>
      <c r="C34" s="5" t="s">
        <v>292</v>
      </c>
      <c r="D34" s="5" t="s">
        <v>32</v>
      </c>
      <c r="E34" s="5">
        <v>2</v>
      </c>
      <c r="F34" s="5" t="s">
        <v>21</v>
      </c>
      <c r="G34" s="5" t="s">
        <v>235</v>
      </c>
      <c r="H34" s="5" t="s">
        <v>293</v>
      </c>
      <c r="I34" s="5" t="s">
        <v>294</v>
      </c>
      <c r="J34" s="5" t="s">
        <v>295</v>
      </c>
      <c r="K34" s="5" t="s">
        <v>296</v>
      </c>
      <c r="L34" s="5" t="s">
        <v>132</v>
      </c>
      <c r="M34" s="19">
        <v>0</v>
      </c>
      <c r="N34" s="5"/>
    </row>
    <row r="35" spans="1:14" ht="52" customHeight="1">
      <c r="A35" s="6" t="s">
        <v>297</v>
      </c>
      <c r="B35" s="6" t="s">
        <v>298</v>
      </c>
      <c r="C35" s="6" t="s">
        <v>299</v>
      </c>
      <c r="D35" s="6" t="s">
        <v>32</v>
      </c>
      <c r="E35" s="6">
        <v>1</v>
      </c>
      <c r="F35" s="6" t="s">
        <v>21</v>
      </c>
      <c r="G35" s="6" t="s">
        <v>286</v>
      </c>
      <c r="H35" s="6" t="s">
        <v>300</v>
      </c>
      <c r="I35" s="6" t="s">
        <v>301</v>
      </c>
      <c r="J35" s="6" t="s">
        <v>302</v>
      </c>
      <c r="K35" s="6" t="s">
        <v>303</v>
      </c>
      <c r="L35" s="6" t="s">
        <v>132</v>
      </c>
      <c r="M35" s="20">
        <v>0</v>
      </c>
      <c r="N35" s="6"/>
    </row>
  </sheetData>
  <mergeCells count="2">
    <mergeCell ref="A2:N2"/>
    <mergeCell ref="A3:N3"/>
  </mergeCells>
  <phoneticPr fontId="11" type="noConversion"/>
  <conditionalFormatting sqref="L6:L35">
    <cfRule type="containsText" dxfId="4" priority="1" operator="containsText" text="已完成"/>
    <cfRule type="containsText" dxfId="3" priority="2" operator="containsText" text="進行中"/>
    <cfRule type="containsText" dxfId="2" priority="3" operator="containsText" text="受阻"/>
  </conditionalFormatting>
  <conditionalFormatting sqref="M6:M35">
    <cfRule type="dataBar" priority="4">
      <dataBar>
        <cfvo type="min"/>
        <cfvo type="max"/>
        <color rgb="FF2F75B5"/>
      </dataBar>
    </cfRule>
    <cfRule type="dataBar" priority="5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{8E285784-D980-5E7D-D1A1-D5EF32125AEB}</x14:id>
        </ext>
      </extLst>
    </cfRule>
  </conditionalFormatting>
  <dataValidations count="2">
    <dataValidation type="list" sqref="L6:L35" xr:uid="{00000000-0002-0000-0200-000000000000}">
      <formula1>"未開始,進行中,已完成,受阻"</formula1>
    </dataValidation>
    <dataValidation type="decimal" sqref="M6:M35" xr:uid="{00000000-0002-0000-0200-000001000000}">
      <formula1>0</formula1>
      <formula2>1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285784-D980-5E7D-D1A1-D5EF32125AEB}">
            <x14:dataBar gradient="0">
              <x14:cfvo type="min"/>
              <x14:cfvo type="max"/>
              <x14:negativeFillColor auto="1"/>
              <x14:axisColor auto="1"/>
            </x14:dataBar>
          </x14:cfRule>
          <xm:sqref>M6:M35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2:G25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42" customWidth="1"/>
    <col min="3" max="3" width="14" customWidth="1"/>
    <col min="4" max="5" width="12" customWidth="1"/>
    <col min="6" max="7" width="26" customWidth="1"/>
  </cols>
  <sheetData>
    <row r="2" spans="1:7" ht="20">
      <c r="A2" s="21" t="s">
        <v>304</v>
      </c>
      <c r="B2" s="22"/>
      <c r="C2" s="22"/>
      <c r="D2" s="22"/>
      <c r="E2" s="22"/>
      <c r="F2" s="22"/>
      <c r="G2" s="22"/>
    </row>
    <row r="3" spans="1:7">
      <c r="A3" s="23" t="s">
        <v>305</v>
      </c>
      <c r="B3" s="22"/>
      <c r="C3" s="22"/>
      <c r="D3" s="22"/>
      <c r="E3" s="22"/>
      <c r="F3" s="22"/>
      <c r="G3" s="22"/>
    </row>
    <row r="4" spans="1:7">
      <c r="A4" s="1"/>
      <c r="B4" s="1"/>
      <c r="C4" s="1"/>
      <c r="D4" s="1"/>
      <c r="E4" s="1"/>
      <c r="F4" s="1"/>
      <c r="G4" s="1"/>
    </row>
    <row r="5" spans="1:7">
      <c r="A5" s="2" t="s">
        <v>306</v>
      </c>
      <c r="B5" s="3" t="s">
        <v>307</v>
      </c>
      <c r="C5" s="3" t="s">
        <v>308</v>
      </c>
      <c r="D5" s="3" t="s">
        <v>309</v>
      </c>
      <c r="E5" s="3" t="s">
        <v>310</v>
      </c>
      <c r="F5" s="3" t="s">
        <v>311</v>
      </c>
      <c r="G5" s="4" t="s">
        <v>312</v>
      </c>
    </row>
    <row r="6" spans="1:7" ht="34" customHeight="1">
      <c r="A6" s="5" t="s">
        <v>313</v>
      </c>
      <c r="B6" s="5" t="s">
        <v>314</v>
      </c>
      <c r="C6" s="5" t="s">
        <v>315</v>
      </c>
      <c r="D6" s="5" t="s">
        <v>316</v>
      </c>
      <c r="E6" s="5" t="s">
        <v>317</v>
      </c>
      <c r="F6" s="5"/>
      <c r="G6" s="5"/>
    </row>
    <row r="7" spans="1:7" ht="34" customHeight="1">
      <c r="A7" s="5" t="s">
        <v>313</v>
      </c>
      <c r="B7" s="5" t="s">
        <v>318</v>
      </c>
      <c r="C7" s="5" t="s">
        <v>319</v>
      </c>
      <c r="D7" s="5" t="s">
        <v>316</v>
      </c>
      <c r="E7" s="5" t="s">
        <v>317</v>
      </c>
      <c r="F7" s="5"/>
      <c r="G7" s="5"/>
    </row>
    <row r="8" spans="1:7" ht="34" customHeight="1">
      <c r="A8" s="5" t="s">
        <v>313</v>
      </c>
      <c r="B8" s="5" t="s">
        <v>320</v>
      </c>
      <c r="C8" s="5" t="s">
        <v>286</v>
      </c>
      <c r="D8" s="5" t="s">
        <v>316</v>
      </c>
      <c r="E8" s="5" t="s">
        <v>317</v>
      </c>
      <c r="F8" s="5"/>
      <c r="G8" s="5"/>
    </row>
    <row r="9" spans="1:7" ht="34" customHeight="1">
      <c r="A9" s="5" t="s">
        <v>313</v>
      </c>
      <c r="B9" s="5" t="s">
        <v>321</v>
      </c>
      <c r="C9" s="5" t="s">
        <v>286</v>
      </c>
      <c r="D9" s="5" t="s">
        <v>316</v>
      </c>
      <c r="E9" s="5" t="s">
        <v>317</v>
      </c>
      <c r="F9" s="5"/>
      <c r="G9" s="5"/>
    </row>
    <row r="10" spans="1:7" ht="34" customHeight="1">
      <c r="A10" s="5" t="s">
        <v>322</v>
      </c>
      <c r="B10" s="5" t="s">
        <v>323</v>
      </c>
      <c r="C10" s="5" t="s">
        <v>324</v>
      </c>
      <c r="D10" s="5" t="s">
        <v>316</v>
      </c>
      <c r="E10" s="5" t="s">
        <v>317</v>
      </c>
      <c r="F10" s="5"/>
      <c r="G10" s="5"/>
    </row>
    <row r="11" spans="1:7" ht="34" customHeight="1">
      <c r="A11" s="5" t="s">
        <v>322</v>
      </c>
      <c r="B11" s="5" t="s">
        <v>325</v>
      </c>
      <c r="C11" s="5" t="s">
        <v>324</v>
      </c>
      <c r="D11" s="5" t="s">
        <v>316</v>
      </c>
      <c r="E11" s="5" t="s">
        <v>317</v>
      </c>
      <c r="F11" s="5"/>
      <c r="G11" s="5"/>
    </row>
    <row r="12" spans="1:7" ht="34" customHeight="1">
      <c r="A12" s="5" t="s">
        <v>326</v>
      </c>
      <c r="B12" s="5" t="s">
        <v>327</v>
      </c>
      <c r="C12" s="5" t="s">
        <v>328</v>
      </c>
      <c r="D12" s="5" t="s">
        <v>316</v>
      </c>
      <c r="E12" s="5" t="s">
        <v>317</v>
      </c>
      <c r="F12" s="5"/>
      <c r="G12" s="5"/>
    </row>
    <row r="13" spans="1:7" ht="34" customHeight="1">
      <c r="A13" s="5" t="s">
        <v>329</v>
      </c>
      <c r="B13" s="5" t="s">
        <v>330</v>
      </c>
      <c r="C13" s="5" t="s">
        <v>331</v>
      </c>
      <c r="D13" s="5" t="s">
        <v>332</v>
      </c>
      <c r="E13" s="5" t="s">
        <v>317</v>
      </c>
      <c r="F13" s="5"/>
      <c r="G13" s="5"/>
    </row>
    <row r="14" spans="1:7" ht="34" customHeight="1">
      <c r="A14" s="5" t="s">
        <v>333</v>
      </c>
      <c r="B14" s="5" t="s">
        <v>334</v>
      </c>
      <c r="C14" s="5" t="s">
        <v>328</v>
      </c>
      <c r="D14" s="5" t="s">
        <v>332</v>
      </c>
      <c r="E14" s="5" t="s">
        <v>317</v>
      </c>
      <c r="F14" s="5"/>
      <c r="G14" s="5"/>
    </row>
    <row r="15" spans="1:7" ht="34" customHeight="1">
      <c r="A15" s="5" t="s">
        <v>335</v>
      </c>
      <c r="B15" s="5" t="s">
        <v>336</v>
      </c>
      <c r="C15" s="5" t="s">
        <v>21</v>
      </c>
      <c r="D15" s="5" t="s">
        <v>332</v>
      </c>
      <c r="E15" s="5" t="s">
        <v>317</v>
      </c>
      <c r="F15" s="5"/>
      <c r="G15" s="5"/>
    </row>
    <row r="16" spans="1:7" ht="34" customHeight="1">
      <c r="A16" s="5" t="s">
        <v>337</v>
      </c>
      <c r="B16" s="5" t="s">
        <v>338</v>
      </c>
      <c r="C16" s="5" t="s">
        <v>339</v>
      </c>
      <c r="D16" s="5" t="s">
        <v>340</v>
      </c>
      <c r="E16" s="5" t="s">
        <v>317</v>
      </c>
      <c r="F16" s="5"/>
      <c r="G16" s="5"/>
    </row>
    <row r="17" spans="1:7" ht="34" customHeight="1">
      <c r="A17" s="6" t="s">
        <v>341</v>
      </c>
      <c r="B17" s="6" t="s">
        <v>342</v>
      </c>
      <c r="C17" s="6" t="s">
        <v>339</v>
      </c>
      <c r="D17" s="6" t="s">
        <v>340</v>
      </c>
      <c r="E17" s="6" t="s">
        <v>317</v>
      </c>
      <c r="F17" s="6"/>
      <c r="G17" s="6"/>
    </row>
    <row r="20" spans="1:7">
      <c r="A20" s="24" t="s">
        <v>343</v>
      </c>
      <c r="B20" s="25"/>
      <c r="C20" s="25"/>
      <c r="D20" s="25"/>
      <c r="E20" s="25"/>
      <c r="F20" s="25"/>
      <c r="G20" s="26"/>
    </row>
    <row r="21" spans="1:7">
      <c r="A21" s="30" t="s">
        <v>344</v>
      </c>
      <c r="B21" s="22"/>
      <c r="C21" s="22"/>
      <c r="D21" s="22"/>
      <c r="E21" s="22"/>
      <c r="F21" s="22"/>
      <c r="G21" s="22"/>
    </row>
    <row r="22" spans="1:7">
      <c r="A22" s="22"/>
      <c r="B22" s="22"/>
      <c r="C22" s="22"/>
      <c r="D22" s="22"/>
      <c r="E22" s="22"/>
      <c r="F22" s="22"/>
      <c r="G22" s="22"/>
    </row>
    <row r="23" spans="1:7">
      <c r="A23" s="22"/>
      <c r="B23" s="22"/>
      <c r="C23" s="22"/>
      <c r="D23" s="22"/>
      <c r="E23" s="22"/>
      <c r="F23" s="22"/>
      <c r="G23" s="22"/>
    </row>
    <row r="25" spans="1:7">
      <c r="A25" s="23" t="s">
        <v>345</v>
      </c>
      <c r="B25" s="22"/>
      <c r="C25" s="22"/>
      <c r="D25" s="22"/>
      <c r="E25" s="22"/>
      <c r="F25" s="22"/>
      <c r="G25" s="22"/>
    </row>
  </sheetData>
  <mergeCells count="5">
    <mergeCell ref="A2:G2"/>
    <mergeCell ref="A3:G3"/>
    <mergeCell ref="A20:G20"/>
    <mergeCell ref="A21:G23"/>
    <mergeCell ref="A25:G25"/>
  </mergeCells>
  <phoneticPr fontId="11" type="noConversion"/>
  <conditionalFormatting sqref="E6:E17">
    <cfRule type="containsText" dxfId="1" priority="1" operator="containsText" text="通過"/>
    <cfRule type="containsText" dxfId="0" priority="2" operator="containsText" text="需修正"/>
  </conditionalFormatting>
  <dataValidations count="1">
    <dataValidation type="list" sqref="E6:E17" xr:uid="{00000000-0002-0000-0300-000000000000}">
      <formula1>"待確認,通過,需修正"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負載分配</vt:lpstr>
      <vt:lpstr>每週分工</vt:lpstr>
      <vt:lpstr>任務與測試</vt:lpstr>
      <vt:lpstr>初審驗收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章繼綸 (114504515)</cp:lastModifiedBy>
  <dcterms:created xsi:type="dcterms:W3CDTF">2026-09-07T09:08:13Z</dcterms:created>
  <dcterms:modified xsi:type="dcterms:W3CDTF">2026-09-07T09:09:31Z</dcterms:modified>
</cp:coreProperties>
</file>